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isthe\Documents\DataAnalytics\week-01\"/>
    </mc:Choice>
  </mc:AlternateContent>
  <xr:revisionPtr revIDLastSave="0" documentId="8_{4EB2962A-1638-4E76-A30B-62ADA1AA21BA}" xr6:coauthVersionLast="47" xr6:coauthVersionMax="47" xr10:uidLastSave="{00000000-0000-0000-0000-000000000000}"/>
  <bookViews>
    <workbookView xWindow="-120" yWindow="-120" windowWidth="29040" windowHeight="15720" xr2:uid="{00000000-000D-0000-FFFF-FFFF00000000}"/>
  </bookViews>
  <sheets>
    <sheet name="Age Range" sheetId="2" r:id="rId1"/>
    <sheet name="Survey Responses" sheetId="1" r:id="rId2"/>
  </sheets>
  <calcPr calcId="191029"/>
  <pivotCaches>
    <pivotCache cacheId="1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 l="1" a="1"/>
  <c r="D8" i="1"/>
  <c r="D2" i="1"/>
  <c r="D3" i="1"/>
  <c r="D4" i="1"/>
  <c r="D5" i="1"/>
  <c r="D6" i="1"/>
  <c r="D7"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<sst xmlns="http://schemas.openxmlformats.org/spreadsheetml/2006/main" count="111" uniqueCount="53">
  <si>
    <t>ID</t>
  </si>
  <si>
    <t>Start time</t>
  </si>
  <si>
    <t>Completion time</t>
  </si>
  <si>
    <t>Email</t>
  </si>
  <si>
    <t>Name</t>
  </si>
  <si>
    <t>Last modified time</t>
  </si>
  <si>
    <t>How often do you dine with Olive Garden monthly?</t>
  </si>
  <si>
    <t>How old are you?</t>
  </si>
  <si>
    <t>What is your favorite dish we serve?</t>
  </si>
  <si>
    <t>How likely are you to continue doing business with us in the future?</t>
  </si>
  <si>
    <t>If we offered a loyalty program, how much would you be willing to pay per month?</t>
  </si>
  <si>
    <t>What are some likely benefits you would like to see in the loyalty program?</t>
  </si>
  <si>
    <t>Service time</t>
  </si>
  <si>
    <t>Cost</t>
  </si>
  <si>
    <t>Waiter Communication</t>
  </si>
  <si>
    <t>Food Quality</t>
  </si>
  <si>
    <t>Thank you for sharing your time with us. We may reach out to follow up with you on your feedback. Please leave your email address below if you'd like to communicate with us in the future.</t>
  </si>
  <si>
    <t>anonymous</t>
  </si>
  <si>
    <t>3-4</t>
  </si>
  <si>
    <t>18 - 25</t>
  </si>
  <si>
    <t>Chicken Gnocchi Soup</t>
  </si>
  <si>
    <t>Extremely likely</t>
  </si>
  <si>
    <t>$10 a month</t>
  </si>
  <si>
    <t>Earn points toward free meals and appetizers;Get free birthday rewards (dessert or appetizer);Access to members-only promotions and early offers;</t>
  </si>
  <si>
    <t>Neutral</t>
  </si>
  <si>
    <t>Satisifed</t>
  </si>
  <si>
    <t>Extremely satisfied</t>
  </si>
  <si>
    <t>fakeemail@fakeemail.com</t>
  </si>
  <si>
    <t>0</t>
  </si>
  <si>
    <t>26 - 35</t>
  </si>
  <si>
    <t>I like soup</t>
  </si>
  <si>
    <t>Somewhat likely</t>
  </si>
  <si>
    <t>I would not be interested in a paid loyalty program</t>
  </si>
  <si>
    <t>Earn points toward free meals and appetizers;Get free birthday rewards (dessert or appetizer);</t>
  </si>
  <si>
    <t>1-2</t>
  </si>
  <si>
    <t>Zuppa Toscana</t>
  </si>
  <si>
    <t>Very likely</t>
  </si>
  <si>
    <t>Earn points toward free meals and appetizers;Receive exclusive discounts and special offers;Get free birthday rewards (dessert or appetizer);Access to members-only promotions and early offers;</t>
  </si>
  <si>
    <t>Saca@gmail.com</t>
  </si>
  <si>
    <t>The tour of Italy w lots of garlic bread</t>
  </si>
  <si>
    <t>$5 a month</t>
  </si>
  <si>
    <t>Earn points toward free meals and appetizers;Receive exclusive discounts and special offers;</t>
  </si>
  <si>
    <t>Not at all likely</t>
  </si>
  <si>
    <t>Earn points toward free meals and appetizers;</t>
  </si>
  <si>
    <t>Not so likely</t>
  </si>
  <si>
    <t>gmail@gmail.com</t>
  </si>
  <si>
    <t>Football@gmail.com</t>
  </si>
  <si>
    <t>Username@gmail.com</t>
  </si>
  <si>
    <t>Hamburgers@gmail.com</t>
  </si>
  <si>
    <t>Time to complete</t>
  </si>
  <si>
    <t>Row Labels</t>
  </si>
  <si>
    <t>Grand Total</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</si>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</sst>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h:mm:ss"/>
    <numFmt numFmtId="167" formatCode="mm/d/yyyy\ hh:mm:ss"/>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cellStyleXfs>
  <cellXfs count="9">
    <xf numFmtId="0" fontId="0" fillId="0" borderId="0" xfId="0"/>
    <xf numFmtId="164" fontId="0" fillId="0" borderId="0" xfId="0" applyNumberFormat="1"/>
    <xf numFmtId="0" fontId="0" fillId="0" borderId="0" xfId="0" quotePrefix="1"/>
    <xf numFmtId="0" fontId="1" fillId="0" borderId="0" xfId="1"/>
    <xf numFmtId="0" fontId="0" fillId="0" borderId="0" xfId="0" applyNumberFormat="1"/>
    <xf numFmtId="167" fontId="0" fillId="0" borderId="0" xfId="0" applyNumberFormat="1"/>
    <xf numFmtId="45" fontId="0" fillId="0" borderId="0" xfId="0" applyNumberFormat="1"/>
    <xf numFmtId="0" fontId="0" fillId="0" borderId="0" xfId="0" pivotButton="1"/>
    <xf numFmtId="0" fontId="0" fillId="0" borderId="0" xfId="0" applyAlignment="1">
      <alignment horizontal="left"/>
    </xf>
  </cellXfs>
  <cellStyles count="2">
    <cellStyle name="Hyperlink" xfId="1" builtinId="8"/>
    <cellStyle name="Normal" xfId="0" builtinId="0"/>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28" formatCode="mm:ss"/>
    </dxf>
    <dxf>
      <numFmt numFmtId="167" formatCode="mm/d/yyyy\ hh:mm:ss"/>
    </dxf>
    <dxf>
      <numFmt numFmtId="167" formatCode="mm/d/yyyy\ hh:mm:ss"/>
    </dxf>
    <dxf>
      <numFmt numFmtId="0" formatCode="General"/>
    </dxf>
    <dxf>
      <numFmt numFmtId="28" formatCode="mm:ss"/>
    </dxf>
    <dxf>
      <numFmt numFmtId="167" formatCode="mm/d/yyyy\ hh:mm:ss"/>
    </dxf>
    <dxf>
      <numFmt numFmtId="167" formatCode="mm/d/yyyy\ h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[Ex5B_Customer_Survey.xlsx]Age Range!PivotTable1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002060"/>
                </a:solidFill>
              </a:rPr>
              <a:t>Age Range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576793742366362"/>
              <c:y val="-0.1328000000000000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D693BB-19F5-41F2-9C0C-792501934159}" type="PERCENTAGE">
                  <a:rPr lang="en-US" sz="1100" baseline="0">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992614537044256"/>
              <c:y val="9.17743589743588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1A02BB-7505-4498-A06C-E516CAA1AC28}" type="PERCENTAGE">
                  <a:rPr lang="en-US" sz="1100" baseline="0">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'Age Range'!$B$1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DCF-48E5-8FD9-CEDDA3EE6B3F}"/>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DCF-48E5-8FD9-CEDDA3EE6B3F}"/>
              </c:ext>
            </c:extLst>
          </c:dPt>
          <c:dLbls>
            <c:dLbl>
              <c:idx val="0"/>
              <c:layout>
                <c:manualLayout>
                  <c:x val="-0.14576793742366362"/>
                  <c:y val="-0.13280000000000008"/>
                </c:manualLayout>
              </c:layout>
              <c:tx>
                <c:rich>
                  <a:bodyPr/>
                  <a:lstStyle/>
                  <a:p>
                    <a:fld id="{B1D693BB-19F5-41F2-9C0C-792501934159}" type="PERCENTAGE">
                      <a:rPr lang="en-US" sz="1100" baseline="0">
                        <a:solidFill>
                          <a:schemeClr val="bg1"/>
                        </a:solidFill>
                      </a:rPr>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DCF-48E5-8FD9-CEDDA3EE6B3F}"/>
                </c:ext>
              </c:extLst>
            </c:dLbl>
            <c:dLbl>
              <c:idx val="1"/>
              <c:layout>
                <c:manualLayout>
                  <c:x val="0.12992614537044256"/>
                  <c:y val="9.1774358974358899E-2"/>
                </c:manualLayout>
              </c:layout>
              <c:tx>
                <c:rich>
                  <a:bodyPr/>
                  <a:lstStyle/>
                  <a:p>
                    <a:fld id="{281A02BB-7505-4498-A06C-E516CAA1AC28}" type="PERCENTAGE">
                      <a:rPr lang="en-US" sz="1100" baseline="0">
                        <a:solidFill>
                          <a:schemeClr val="bg1"/>
                        </a:solidFill>
                      </a:rPr>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DCF-48E5-8FD9-CEDDA3EE6B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Range'!$A$2:$A$4</c:f>
              <c:strCache>
                <c:ptCount val="2"/>
                <c:pt idx="0">
                  <c:v>18 - 25</c:v>
                </c:pt>
                <c:pt idx="1">
                  <c:v>26 - 35</c:v>
                </c:pt>
              </c:strCache>
            </c:strRef>
          </c:cat>
          <c:val>
            <c:numRef>
              <c:f>'Age Range'!$B$2:$B$4</c:f>
              <c:numCache>
                <c:formatCode>General</c:formatCode>
                <c:ptCount val="2"/>
                <c:pt idx="0">
                  <c:v>4</c:v>
                </c:pt>
                <c:pt idx="1">
                  <c:v>2</c:v>
                </c:pt>
              </c:numCache>
            </c:numRef>
          </c:val>
          <c:extLst>
            <c:ext xmlns:c16="http://schemas.microsoft.com/office/drawing/2014/chart" uri="{C3380CC4-5D6E-409C-BE32-E72D297353CC}">
              <c16:uniqueId val="{00000000-EDCF-48E5-8FD9-CEDDA3EE6B3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097222222222221"/>
          <c:y val="0.26858741615631382"/>
          <c:w val="0.28125"/>
          <c:h val="0.575369276757072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[Ex5B_Customer_Survey.xlsx]Age Range!PivotTable3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Sevice Time Satisfication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A67B199-7A24-4F2A-AFA4-AEC777D3065D}" type="PERCENTAGE">
                  <a:rPr lang="en-US" baseline="0"/>
                  <a:pPr>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43238CBC-F722-4204-BC6C-E423B2C04B5B}" type="PERCENTAGE">
                  <a:rPr lang="en-US" baseline="0"/>
                  <a:pPr>
                    <a:defRPr/>
                  </a:pPr>
                  <a:t>[PERCENTAGE]</a:t>
                </a:fld>
                <a:endParaRPr lang="en-US"/>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'Age Range'!$B$10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ED40-4606-B5CD-7B5E8B8A1FA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D40-4606-B5CD-7B5E8B8A1FA6}"/>
              </c:ext>
            </c:extLst>
          </c:dPt>
          <c:dLbls>
            <c:dLbl>
              <c:idx val="0"/>
              <c:tx>
                <c:rich>
                  <a:bodyPr/>
                  <a:lstStyle/>
                  <a:p>
                    <a:fld id="{6A67B199-7A24-4F2A-AFA4-AEC777D3065D}" type="PERCENTAGE">
                      <a:rPr lang="en-US" baseline="0"/>
                      <a:pPr/>
                      <a:t>[PERCENTAGE]</a:t>
                    </a:fld>
                    <a:endParaRPr lang="en-US"/>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ED40-4606-B5CD-7B5E8B8A1FA6}"/>
                </c:ext>
              </c:extLst>
            </c:dLbl>
            <c:dLbl>
              <c:idx val="1"/>
              <c:tx>
                <c:rich>
                  <a:bodyPr/>
                  <a:lstStyle/>
                  <a:p>
                    <a:fld id="{43238CBC-F722-4204-BC6C-E423B2C04B5B}" type="PERCENTAGE">
                      <a:rPr lang="en-US" baseline="0"/>
                      <a:pPr/>
                      <a:t>[PERCENTAGE]</a:t>
                    </a:fld>
                    <a:endParaRPr lang="en-US"/>
                  </a:p>
                </c:rich>
              </c:tx>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ED40-4606-B5CD-7B5E8B8A1FA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 Range'!$A$11:$A$13</c:f>
              <c:strCache>
                <c:ptCount val="2"/>
                <c:pt idx="0">
                  <c:v>Neutral</c:v>
                </c:pt>
                <c:pt idx="1">
                  <c:v>Satisifed</c:v>
                </c:pt>
              </c:strCache>
            </c:strRef>
          </c:cat>
          <c:val>
            <c:numRef>
              <c:f>'Age Range'!$B$11:$B$13</c:f>
              <c:numCache>
                <c:formatCode>General</c:formatCode>
                <c:ptCount val="2"/>
                <c:pt idx="0">
                  <c:v>3</c:v>
                </c:pt>
                <c:pt idx="1">
                  <c:v>2</c:v>
                </c:pt>
              </c:numCache>
            </c:numRef>
          </c:val>
          <c:extLst>
            <c:ext xmlns:c16="http://schemas.microsoft.com/office/drawing/2014/chart" uri="{C3380CC4-5D6E-409C-BE32-E72D297353CC}">
              <c16:uniqueId val="{0000000B-ED40-4606-B5CD-7B5E8B8A1FA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[Ex5B_Customer_Survey.xlsx]Age Range!PivotTable4</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Cost Satisfaction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'Age Range'!$B$15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Range'!$A$16:$A$18</c:f>
              <c:strCache>
                <c:ptCount val="2"/>
                <c:pt idx="0">
                  <c:v>Neutral</c:v>
                </c:pt>
                <c:pt idx="1">
                  <c:v>Satisifed</c:v>
                </c:pt>
              </c:strCache>
            </c:strRef>
          </c:cat>
          <c:val>
            <c:numRef>
              <c:f>'Age Range'!$B$16:$B$18</c:f>
              <c:numCache>
                <c:formatCode>General</c:formatCode>
                <c:ptCount val="2"/>
                <c:pt idx="0">
                  <c:v>2</c:v>
                </c:pt>
                <c:pt idx="1">
                  <c:v>3</c:v>
                </c:pt>
              </c:numCache>
            </c:numRef>
          </c:val>
          <c:extLst>
            <c:ext xmlns:c16="http://schemas.microsoft.com/office/drawing/2014/chart" uri="{C3380CC4-5D6E-409C-BE32-E72D297353CC}">
              <c16:uniqueId val="{00000000-F15D-4053-A1B9-F25BDE5F3B7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[Ex5B_Customer_Survey.xlsx]Age Range!PivotTable5</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Waiter Satisfaction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'Age Range'!$B$21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'Age Range'!$A$22:$A$25</c:f>
              <c:strCache>
                <c:ptCount val="3"/>
                <c:pt idx="0">
                  <c:v>Extremely satisfied</c:v>
                </c:pt>
                <c:pt idx="1">
                  <c:v>Neutral</c:v>
                </c:pt>
                <c:pt idx="2">
                  <c:v>Satisifed</c:v>
                </c:pt>
              </c:strCache>
            </c:strRef>
          </c:cat>
          <c:val>
            <c:numRef>
              <c:f>'Age Range'!$B$22:$B$25</c:f>
              <c:numCache>
                <c:formatCode>General</c:formatCode>
                <c:ptCount val="3"/>
                <c:pt idx="0">
                  <c:v>1</c:v>
                </c:pt>
                <c:pt idx="1">
                  <c:v>1</c:v>
                </c:pt>
                <c:pt idx="2">
                  <c:v>3</c:v>
                </c:pt>
              </c:numCache>
            </c:numRef>
          </c:val>
          <c:extLst>
            <c:ext xmlns:c16="http://schemas.microsoft.com/office/drawing/2014/chart" uri="{C3380CC4-5D6E-409C-BE32-E72D297353CC}">
              <c16:uniqueId val="{00000000-8166-42D3-817D-37D4804F34D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[Ex5B_Customer_Survey.xlsx]Age Range!PivotTable7</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Food Quality</a:t>
            </a:r>
            <a:r>
              <a:rPr lang="en-US" baseline="0"/>
              <a:t> Satisfaction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'Age Range'!$B$30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'Age Range'!$A$31:$A$34</c:f>
              <c:strCache>
                <c:ptCount val="3"/>
                <c:pt idx="0">
                  <c:v>Extremely satisfied</c:v>
                </c:pt>
                <c:pt idx="1">
                  <c:v>Neutral</c:v>
                </c:pt>
                <c:pt idx="2">
                  <c:v>Satisifed</c:v>
                </c:pt>
              </c:strCache>
            </c:strRef>
          </c:cat>
          <c:val>
            <c:numRef>
              <c:f>'Age Range'!$B$31:$B$34</c:f>
              <c:numCache>
                <c:formatCode>General</c:formatCode>
                <c:ptCount val="3"/>
                <c:pt idx="0">
                  <c:v>1</c:v>
                </c:pt>
                <c:pt idx="1">
                  <c:v>1</c:v>
                </c:pt>
                <c:pt idx="2">
                  <c:v>3</c:v>
                </c:pt>
              </c:numCache>
            </c:numRef>
          </c:val>
          <c:extLst>
            <c:ext xmlns:c16="http://schemas.microsoft.com/office/drawing/2014/chart" uri="{C3380CC4-5D6E-409C-BE32-E72D297353CC}">
              <c16:uniqueId val="{00000000-46FB-4BAA-A589-25F4EF78D48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571500</xdr:colOff>
      <xdr:row>1</xdr:row>
      <xdr:rowOff>28574</xdr:rowOff>
    </xdr:from>
    <xdr:to>
      <xdr:col>9</xdr:col>
      <xdr:colOff>200025</xdr:colOff>
      <xdr:row>17</xdr:row>
      <xdr:rowOff>76199</xdr:rowOff>
    </xdr:to>
    <xdr:graphicFrame macro="">
      <xdr:nvGraphicFramePr>
        <xdr:cNvPr id="2" name="Chart 1">
          <a:extLst>
            <a:ext uri="{FF2B5EF4-FFF2-40B4-BE49-F238E27FC236}">
              <a16:creationId xmlns:a16="http://schemas.microsoft.com/office/drawing/2014/main" id="{9CF41985-5330-5801-E557-61E12A72F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609602</xdr:colOff>
      <xdr:row>17</xdr:row>
      <xdr:rowOff>161925</xdr:rowOff>
    </xdr:from>
    <xdr:to>
      <xdr:col>9</xdr:col>
      <xdr:colOff>161926</xdr:colOff>
      <xdr:row>36</xdr:row>
      <xdr:rowOff>28576</xdr:rowOff>
    </xdr:to>
    <xdr:graphicFrame macro="">
      <xdr:nvGraphicFramePr>
        <xdr:cNvPr id="4" name="Chart 3">
          <a:extLst>
            <a:ext uri="{FF2B5EF4-FFF2-40B4-BE49-F238E27FC236}">
              <a16:creationId xmlns:a16="http://schemas.microsoft.com/office/drawing/2014/main" id="{9F2D91A5-788B-2191-79E2-02C8AC507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303609</xdr:colOff>
      <xdr:row>1</xdr:row>
      <xdr:rowOff>39289</xdr:rowOff>
    </xdr:from>
    <xdr:to>
      <xdr:col>16</xdr:col>
      <xdr:colOff>535781</xdr:colOff>
      <xdr:row>17</xdr:row>
      <xdr:rowOff>47625</xdr:rowOff>
    </xdr:to>
    <xdr:graphicFrame macro="">
      <xdr:nvGraphicFramePr>
        <xdr:cNvPr id="5" name="Chart 4">
          <a:extLst>
            <a:ext uri="{FF2B5EF4-FFF2-40B4-BE49-F238E27FC236}">
              <a16:creationId xmlns:a16="http://schemas.microsoft.com/office/drawing/2014/main" id="{42C1247B-B8A7-0886-E670-5C3582F0B3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303609</xdr:colOff>
      <xdr:row>18</xdr:row>
      <xdr:rowOff>3570</xdr:rowOff>
    </xdr:from>
    <xdr:to>
      <xdr:col>16</xdr:col>
      <xdr:colOff>535781</xdr:colOff>
      <xdr:row>35</xdr:row>
      <xdr:rowOff>190499</xdr:rowOff>
    </xdr:to>
    <xdr:graphicFrame macro="">
      <xdr:nvGraphicFramePr>
        <xdr:cNvPr id="6" name="Chart 5">
          <a:extLst>
            <a:ext uri="{FF2B5EF4-FFF2-40B4-BE49-F238E27FC236}">
              <a16:creationId xmlns:a16="http://schemas.microsoft.com/office/drawing/2014/main" id="{2106A700-6336-F4B8-77E2-278C36681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5953</xdr:colOff>
      <xdr:row>0</xdr:row>
      <xdr:rowOff>130969</xdr:rowOff>
    </xdr:from>
    <xdr:to>
      <xdr:col>24</xdr:col>
      <xdr:colOff>381000</xdr:colOff>
      <xdr:row>17</xdr:row>
      <xdr:rowOff>35718</xdr:rowOff>
    </xdr:to>
    <xdr:graphicFrame macro="">
      <xdr:nvGraphicFramePr>
        <xdr:cNvPr id="7" name="Chart 6">
          <a:extLst>
            <a:ext uri="{FF2B5EF4-FFF2-40B4-BE49-F238E27FC236}">
              <a16:creationId xmlns:a16="http://schemas.microsoft.com/office/drawing/2014/main" id="{2A108FB2-8880-C4D3-F6AC-D796294B2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rael Colman" refreshedDate="46313.811707291665" createdVersion="8" refreshedVersion="8" minRefreshableVersion="3" recordCount="6" xr:uid="{6DB6382A-0D7D-47C4-B52E-64EADC01F57F}">
  <cacheSource type="worksheet">
    <worksheetSource name="Table1"/>
  </cacheSource>
  <cacheFields count="18">
    <cacheField name="ID" numFmtId="0">
      <sharedItems containsSemiMixedTypes="0" containsString="0" containsNumber="1" containsInteger="1" minValue="1" maxValue="6"/>
    </cacheField>
    <cacheField name="Start time" numFmtId="167">
      <sharedItems containsSemiMixedTypes="0" containsNonDate="0" containsDate="1" containsString="0" minDate="2026-10-18T10:44:06" maxDate="2026-10-18T17:11:53"/>
    </cacheField>
    <cacheField name="Completion time" numFmtId="167">
      <sharedItems containsSemiMixedTypes="0" containsNonDate="0" containsDate="1" containsString="0" minDate="2026-10-18T10:45:08" maxDate="2026-10-18T17:12:27"/>
    </cacheField>
    <cacheField name="Time to complete" numFmtId="45">
      <sharedItems containsSemiMixedTypes="0" containsNonDate="0" containsDate="1" containsString="0" minDate="1899-12-30T00:00:34" maxDate="1899-12-30T00:02:53"/>
    </cacheField>
    <cacheField name="Email" numFmtId="0">
      <sharedItems/>
    </cacheField>
    <cacheField name="Name" numFmtId="0">
      <sharedItems containsNonDate="0" containsString="0" containsBlank="1"/>
    </cacheField>
    <cacheField name="Last modified time" numFmtId="164">
      <sharedItems containsNonDate="0" containsString="0" containsBlank="1"/>
    </cacheField>
    <cacheField name="How often do you dine with Olive Garden monthly?" numFmtId="0">
      <sharedItems/>
    </cacheField>
    <cacheField name="How old are you?" numFmtId="0">
      <sharedItems count="2">
        <s v="18 - 25"/>
        <s v="26 - 35"/>
      </sharedItems>
    </cacheField>
    <cacheField name="What is your favorite dish we serve?" numFmtId="0">
      <sharedItems containsBlank="1"/>
    </cacheField>
    <cacheField name="How likely are you to continue doing business with us in the future?" numFmtId="0">
      <sharedItems/>
    </cacheField>
    <cacheField name="If we offered a loyalty program, how much would you be willing to pay per month?" numFmtId="0">
      <sharedItems/>
    </cacheField>
    <cacheField name="What are some likely benefits you would like to see in the loyalty program?" numFmtId="0">
      <sharedItems count="5">
        <s v="Earn points toward free meals and appetizers;Get free birthday rewards (dessert or appetizer);Access to members-only promotions and early offers;"/>
        <s v="Earn points toward free meals and appetizers;Get free birthday rewards (dessert or appetizer);"/>
        <s v="Earn points toward free meals and appetizers;Receive exclusive discounts and special offers;Get free birthday rewards (dessert or appetizer);Access to members-only promotions and early offers;"/>
        <s v="Earn points toward free meals and appetizers;Receive exclusive discounts and special offers;"/>
        <s v="Earn points toward free meals and appetizers;"/>
      </sharedItems>
    </cacheField>
    <cacheField name="Service time" numFmtId="0">
      <sharedItems containsBlank="1" count="3">
        <s v="Neutral"/>
        <s v="Satisifed"/>
        <m/>
      </sharedItems>
    </cacheField>
    <cacheField name="Cost" numFmtId="0">
      <sharedItems containsBlank="1" count="3">
        <s v="Satisifed"/>
        <s v="Neutral"/>
        <m/>
      </sharedItems>
    </cacheField>
    <cacheField name="Waiter Communication" numFmtId="0">
      <sharedItems containsBlank="1" count="4">
        <s v="Extremely satisfied"/>
        <s v="Satisifed"/>
        <m/>
        <s v="Neutral"/>
      </sharedItems>
    </cacheField>
    <cacheField name="Food Quality" numFmtId="0">
      <sharedItems containsBlank="1" count="4">
        <s v="Extremely satisfied"/>
        <s v="Satisifed"/>
        <m/>
        <s v="Neutral"/>
      </sharedItems>
    </cacheField>
    <cacheField name="Thank you for sharing your time with us. We may reach out to follow up with you on your feedback. Please leave your email address below if you'd like to communicate with us in the fut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n v="1"/>
    <d v="2026-10-18T10:44:06"/>
    <d v="2026-10-18T10:45:08"/>
    <d v="1899-12-30T00:01:02"/>
    <s v="anonymous"/>
    <m/>
    <m/>
    <s v="3-4"/>
    <x v="0"/>
    <s v="Chicken Gnocchi Soup"/>
    <s v="Extremely likely"/>
    <s v="$10 a month"/>
    <x v="0"/>
    <x v="0"/>
    <x v="0"/>
    <x v="0"/>
    <x v="0"/>
    <s v="fakeemail@fakeemail.com"/>
  </r>
  <r>
    <n v="2"/>
    <d v="2026-10-18T11:06:27"/>
    <d v="2026-10-18T11:07:43"/>
    <d v="1899-12-30T00:01:16"/>
    <s v="anonymous"/>
    <m/>
    <m/>
    <s v="0"/>
    <x v="1"/>
    <s v="I like soup"/>
    <s v="Somewhat likely"/>
    <s v="I would not be interested in a paid loyalty program"/>
    <x v="1"/>
    <x v="0"/>
    <x v="1"/>
    <x v="1"/>
    <x v="1"/>
    <s v="gmail@gmail.com"/>
  </r>
  <r>
    <n v="3"/>
    <d v="2026-10-18T12:41:11"/>
    <d v="2026-10-18T12:44:04"/>
    <d v="1899-12-30T00:02:53"/>
    <s v="anonymous"/>
    <m/>
    <m/>
    <s v="1-2"/>
    <x v="1"/>
    <s v="Zuppa Toscana"/>
    <s v="Very likely"/>
    <s v="I would not be interested in a paid loyalty program"/>
    <x v="2"/>
    <x v="1"/>
    <x v="0"/>
    <x v="1"/>
    <x v="1"/>
    <s v="Saca@gmail.com"/>
  </r>
  <r>
    <n v="4"/>
    <d v="2026-10-18T14:56:36"/>
    <d v="2026-10-18T14:57:56"/>
    <d v="1899-12-30T00:01:20"/>
    <s v="anonymous"/>
    <m/>
    <m/>
    <s v="3-4"/>
    <x v="0"/>
    <s v="The tour of Italy w lots of garlic bread"/>
    <s v="Somewhat likely"/>
    <s v="$5 a month"/>
    <x v="3"/>
    <x v="1"/>
    <x v="0"/>
    <x v="1"/>
    <x v="1"/>
    <s v="Football@gmail.com"/>
  </r>
  <r>
    <n v="5"/>
    <d v="2026-10-18T16:10:47"/>
    <d v="2026-10-18T16:12:16"/>
    <d v="1899-12-30T00:01:29"/>
    <s v="anonymous"/>
    <m/>
    <m/>
    <s v="0"/>
    <x v="0"/>
    <m/>
    <s v="Not at all likely"/>
    <s v="I would not be interested in a paid loyalty program"/>
    <x v="4"/>
    <x v="2"/>
    <x v="2"/>
    <x v="2"/>
    <x v="2"/>
    <s v="Username@gmail.com"/>
  </r>
  <r>
    <n v="6"/>
    <d v="2026-10-18T17:11:53"/>
    <d v="2026-10-18T17:12:27"/>
    <d v="1899-12-30T00:00:34"/>
    <s v="anonymous"/>
    <m/>
    <m/>
    <s v="0"/>
    <x v="0"/>
    <m/>
    <s v="Not so likely"/>
    <s v="I would not be interested in a paid loyalty program"/>
    <x v="4"/>
    <x v="0"/>
    <x v="1"/>
    <x v="3"/>
    <x v="3"/>
    <s v="Hamburgers@gmail.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EF7BE7-C884-4F4D-9A0D-DC2DF33BDCDE}"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0:B34" firstHeaderRow="1" firstDataRow="1" firstDataCol="1"/>
  <pivotFields count="18">
    <pivotField dataField="1" showAll="0"/>
    <pivotField numFmtId="167" showAll="0"/>
    <pivotField numFmtId="167" showAll="0"/>
    <pivotField numFmtId="45" showAll="0"/>
    <pivotField showAll="0"/>
    <pivotField showAll="0"/>
    <pivotField showAll="0"/>
    <pivotField showAll="0"/>
    <pivotField showAll="0"/>
    <pivotField showAll="0"/>
    <pivotField showAll="0"/>
    <pivotField showAll="0"/>
    <pivotField showAll="0"/>
    <pivotField showAll="0">
      <items count="4">
        <item x="0"/>
        <item x="1"/>
        <item h="1" x="2"/>
        <item t="default"/>
      </items>
    </pivotField>
    <pivotField showAll="0">
      <items count="4">
        <item x="1"/>
        <item x="0"/>
        <item x="2"/>
        <item t="default"/>
      </items>
    </pivotField>
    <pivotField showAll="0">
      <items count="5">
        <item x="0"/>
        <item x="3"/>
        <item x="1"/>
        <item x="2"/>
        <item t="default"/>
      </items>
    </pivotField>
    <pivotField axis="axisRow" showAll="0">
      <items count="5">
        <item x="0"/>
        <item x="3"/>
        <item x="1"/>
        <item h="1" x="2"/>
        <item t="default"/>
      </items>
    </pivotField>
    <pivotField showAll="0"/>
  </pivotFields>
  <rowFields count="1">
    <field x="16"/>
  </rowFields>
  <rowItems count="4">
    <i>
      <x/>
    </i>
    <i>
      <x v="1"/>
    </i>
    <i>
      <x v="2"/>
    </i>
    <i t="grand">
      <x/>
    </i>
  </rowItems>
  <colItems count="1">
    <i/>
  </colItems>
  <dataFields count="1">
    <dataField name="Count of ID" fld="0" subtotal="count" baseField="13" baseItem="0"/>
  </dataFields>
  <chartFormats count="2">
    <chartFormat chart="0" format="1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8AF4A6-4872-4014-8EE4-9F661B043022}"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B25" firstHeaderRow="1" firstDataRow="1" firstDataCol="1"/>
  <pivotFields count="18">
    <pivotField dataField="1" showAll="0"/>
    <pivotField numFmtId="167" showAll="0"/>
    <pivotField numFmtId="167" showAll="0"/>
    <pivotField numFmtId="45" showAll="0"/>
    <pivotField showAll="0"/>
    <pivotField showAll="0"/>
    <pivotField showAll="0"/>
    <pivotField showAll="0"/>
    <pivotField showAll="0"/>
    <pivotField showAll="0"/>
    <pivotField showAll="0"/>
    <pivotField showAll="0"/>
    <pivotField showAll="0"/>
    <pivotField showAll="0">
      <items count="4">
        <item x="0"/>
        <item x="1"/>
        <item h="1" x="2"/>
        <item t="default"/>
      </items>
    </pivotField>
    <pivotField showAll="0">
      <items count="4">
        <item x="1"/>
        <item x="0"/>
        <item x="2"/>
        <item t="default"/>
      </items>
    </pivotField>
    <pivotField axis="axisRow" showAll="0">
      <items count="5">
        <item x="0"/>
        <item x="3"/>
        <item x="1"/>
        <item h="1" x="2"/>
        <item t="default"/>
      </items>
    </pivotField>
    <pivotField showAll="0">
      <items count="5">
        <item x="0"/>
        <item x="3"/>
        <item x="1"/>
        <item h="1" x="2"/>
        <item t="default"/>
      </items>
    </pivotField>
    <pivotField showAll="0"/>
  </pivotFields>
  <rowFields count="1">
    <field x="15"/>
  </rowFields>
  <rowItems count="4">
    <i>
      <x/>
    </i>
    <i>
      <x v="1"/>
    </i>
    <i>
      <x v="2"/>
    </i>
    <i t="grand">
      <x/>
    </i>
  </rowItems>
  <colItems count="1">
    <i/>
  </colItems>
  <dataFields count="1">
    <dataField name="Count of ID" fld="0" subtotal="count" baseField="13" baseItem="0"/>
  </dataFields>
  <chartFormats count="2">
    <chartFormat chart="0" format="1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9DF846-947F-4318-89C1-5EE68839C59B}"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B18" firstHeaderRow="1" firstDataRow="1" firstDataCol="1"/>
  <pivotFields count="18">
    <pivotField dataField="1" showAll="0"/>
    <pivotField numFmtId="167" showAll="0"/>
    <pivotField numFmtId="167" showAll="0"/>
    <pivotField numFmtId="45" showAll="0"/>
    <pivotField showAll="0"/>
    <pivotField showAll="0"/>
    <pivotField showAll="0"/>
    <pivotField showAll="0"/>
    <pivotField showAll="0"/>
    <pivotField showAll="0"/>
    <pivotField showAll="0"/>
    <pivotField showAll="0"/>
    <pivotField showAll="0"/>
    <pivotField showAll="0">
      <items count="4">
        <item x="0"/>
        <item x="1"/>
        <item h="1" x="2"/>
        <item t="default"/>
      </items>
    </pivotField>
    <pivotField axis="axisRow" showAll="0">
      <items count="4">
        <item x="1"/>
        <item x="0"/>
        <item h="1" x="2"/>
        <item t="default"/>
      </items>
    </pivotField>
    <pivotField showAll="0">
      <items count="5">
        <item x="0"/>
        <item x="3"/>
        <item x="1"/>
        <item x="2"/>
        <item t="default"/>
      </items>
    </pivotField>
    <pivotField showAll="0">
      <items count="5">
        <item x="0"/>
        <item x="3"/>
        <item x="1"/>
        <item h="1" x="2"/>
        <item t="default"/>
      </items>
    </pivotField>
    <pivotField showAll="0"/>
  </pivotFields>
  <rowFields count="1">
    <field x="14"/>
  </rowFields>
  <rowItems count="3">
    <i>
      <x/>
    </i>
    <i>
      <x v="1"/>
    </i>
    <i t="grand">
      <x/>
    </i>
  </rowItems>
  <colItems count="1">
    <i/>
  </colItems>
  <dataFields count="1">
    <dataField name="Count of ID" fld="0" subtotal="count" baseField="13" baseItem="0"/>
  </dataFields>
  <chartFormats count="2">
    <chartFormat chart="0" format="1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E64418-71B2-4C3B-98A2-795A5E4EF97B}"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13" firstHeaderRow="1" firstDataRow="1" firstDataCol="1"/>
  <pivotFields count="18">
    <pivotField dataField="1" showAll="0"/>
    <pivotField numFmtId="167" showAll="0"/>
    <pivotField numFmtId="167" showAll="0"/>
    <pivotField numFmtId="45"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items count="4">
        <item x="1"/>
        <item x="0"/>
        <item x="2"/>
        <item t="default"/>
      </items>
    </pivotField>
    <pivotField showAll="0">
      <items count="5">
        <item x="0"/>
        <item x="3"/>
        <item x="1"/>
        <item x="2"/>
        <item t="default"/>
      </items>
    </pivotField>
    <pivotField showAll="0">
      <items count="5">
        <item x="0"/>
        <item x="3"/>
        <item x="1"/>
        <item h="1" x="2"/>
        <item t="default"/>
      </items>
    </pivotField>
    <pivotField showAll="0"/>
  </pivotFields>
  <rowFields count="1">
    <field x="13"/>
  </rowFields>
  <rowItems count="3">
    <i>
      <x/>
    </i>
    <i>
      <x v="1"/>
    </i>
    <i t="grand">
      <x/>
    </i>
  </rowItems>
  <colItems count="1">
    <i/>
  </colItems>
  <dataFields count="1">
    <dataField name="Count of ID" fld="0" subtotal="count" baseField="13" baseItem="0"/>
  </dataFields>
  <chartFormats count="3">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13" count="1" selected="0">
            <x v="0"/>
          </reference>
        </references>
      </pivotArea>
    </chartFormat>
    <chartFormat chart="0" format="1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2793D6-7A2D-4BC3-88C4-77F7C8EB235D}"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18">
    <pivotField dataField="1" showAll="0"/>
    <pivotField numFmtId="167" showAll="0"/>
    <pivotField numFmtId="167" showAll="0"/>
    <pivotField numFmtId="45"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ID" fld="0" subtotal="count" baseField="8"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8" totalsRowCount="1">
  <autoFilter ref="A1:R7" xr:uid="{00000000-0009-0000-0100-000001000000}"/>
  <tableColumns count="18">
    <tableColumn id="1" xr3:uid="{00000000-0010-0000-0000-000001000000}" name="ID" dataDxfId="22" totalsRowDxfId="18"/>
    <tableColumn id="2" xr3:uid="{00000000-0010-0000-0000-000002000000}" name="Start time" dataDxfId="21" totalsRowDxfId="17"/>
    <tableColumn id="3" xr3:uid="{00000000-0010-0000-0000-000003000000}" name="Completion time" dataDxfId="20" totalsRowDxfId="16"/>
    <tableColumn id="18" xr3:uid="{491D0563-647F-4850-9AA6-BCC6F9955EAB}" name="Time to complete" totalsRowFunction="custom" dataDxfId="19" totalsRowDxfId="15">
      <calculatedColumnFormula>C2-B2</calculatedColumnFormula>
      <totalsRowFormula>AVERAGE(D2:D7)</totalsRowFormula>
    </tableColumn>
    <tableColumn id="4" xr3:uid="{00000000-0010-0000-0000-000004000000}" name="Email" dataDxfId="35" totalsRowDxfId="14"/>
    <tableColumn id="5" xr3:uid="{00000000-0010-0000-0000-000005000000}" name="Name" dataDxfId="34" totalsRowDxfId="13"/>
    <tableColumn id="6" xr3:uid="{00000000-0010-0000-0000-000006000000}" name="Last modified time" dataDxfId="33" totalsRowDxfId="12"/>
    <tableColumn id="7" xr3:uid="{00000000-0010-0000-0000-000007000000}" name="How often do you dine with Olive Garden monthly?" dataDxfId="32" totalsRowDxfId="11"/>
    <tableColumn id="8" xr3:uid="{00000000-0010-0000-0000-000008000000}" name="How old are you?" dataDxfId="31" totalsRowDxfId="10"/>
    <tableColumn id="9" xr3:uid="{00000000-0010-0000-0000-000009000000}" name="What is your favorite dish we serve?" dataDxfId="0" totalsRowDxfId="9"/>
    <tableColumn id="10" xr3:uid="{00000000-0010-0000-0000-00000A000000}" name="How likely are you to continue doing business with us in the future?" totalsRowFunction="custom" dataDxfId="30" totalsRowDxfId="8">
      <totalsRowFormula array="1">AVERAGE(_xlfn.SWITCH(Table1[How likely are you to continue doing business with us in the future?], "extremely likely",5, "very likely",4, "somewhat likely",3, "not so likely",2, "not at all likely",1))</totalsRowFormula>
    </tableColumn>
    <tableColumn id="11" xr3:uid="{00000000-0010-0000-0000-00000B000000}" name="If we offered a loyalty program, how much would you be willing to pay per month?" dataDxfId="29" totalsRowDxfId="7"/>
    <tableColumn id="12" xr3:uid="{00000000-0010-0000-0000-00000C000000}" name="What are some likely benefits you would like to see in the loyalty program?" dataDxfId="28" totalsRowDxfId="6"/>
    <tableColumn id="13" xr3:uid="{00000000-0010-0000-0000-00000D000000}" name="Service time" dataDxfId="27" totalsRowDxfId="5"/>
    <tableColumn id="14" xr3:uid="{00000000-0010-0000-0000-00000E000000}" name="Cost" dataDxfId="26" totalsRowDxfId="4"/>
    <tableColumn id="15" xr3:uid="{00000000-0010-0000-0000-00000F000000}" name="Waiter Communication" dataDxfId="25" totalsRowDxfId="3"/>
    <tableColumn id="16" xr3:uid="{00000000-0010-0000-0000-000010000000}" name="Food Quality" dataDxfId="24" totalsRowDxfId="2"/>
    <tableColumn id="17" xr3:uid="{00000000-0010-0000-0000-000011000000}" name="Thank you for sharing your time with us. We may reach out to follow up with you on your feedback. Please leave your email address below if you'd like to communicate with us in the future." dataDxfId="23"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hyperlink" Target="mailto:Username@gmail.com" TargetMode="External"/><Relationship Id="rId2" Type="http://schemas.openxmlformats.org/officeDocument/2006/relationships/hyperlink" Target="mailto:Football@gmail.com" TargetMode="External"/><Relationship Id="rId1" Type="http://schemas.openxmlformats.org/officeDocument/2006/relationships/hyperlink" Target="mailto:gmail@gmail.com" TargetMode="External"/><Relationship Id="rId6" Type="http://schemas.openxmlformats.org/officeDocument/2006/relationships/table" Target="../tables/table1.xml"/><Relationship Id="rId5" Type="http://schemas.openxmlformats.org/officeDocument/2006/relationships/printerSettings" Target="../printerSettings/printerSettings1.bin"/><Relationship Id="rId4" Type="http://schemas.openxmlformats.org/officeDocument/2006/relationships/hyperlink" Target="mailto:Hamburger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36442-068B-4673-890E-B425C32E43C4}">
  <dimension ref="A1:B34"/>
  <sheetViews>
    <sheetView tabSelected="1" zoomScale="80" zoomScaleNormal="80" workbookViewId="0">
      <selection activeCell="S22" sqref="S22"/>
    </sheetView>
  </sheetViews>
  <sheetFormatPr defaultRowHeight="15" x14ac:dyDescent="0.25"/>
  <cols>
    <col min="1" max="1" width="20.140625" bestFit="1" customWidth="1"/>
    <col min="2" max="2" width="11" bestFit="1" customWidth="1"/>
    <col min="3" max="5" width="20.5703125" bestFit="1" customWidth="1"/>
  </cols>
  <sheetData>
    <row r="1" spans="1:2" x14ac:dyDescent="0.25">
      <c r="A1" s="7" t="s">
        <v>50</v>
      </c>
      <c r="B1" t="s">
        <v>52</v>
      </c>
    </row>
    <row r="2" spans="1:2" x14ac:dyDescent="0.25">
      <c r="A2" s="8" t="s">
        <v>19</v>
      </c>
      <c r="B2" s="4">
        <v>4</v>
      </c>
    </row>
    <row r="3" spans="1:2" x14ac:dyDescent="0.25">
      <c r="A3" s="8" t="s">
        <v>29</v>
      </c>
      <c r="B3" s="4">
        <v>2</v>
      </c>
    </row>
    <row r="4" spans="1:2" x14ac:dyDescent="0.25">
      <c r="A4" s="8" t="s">
        <v>51</v>
      </c>
      <c r="B4" s="4">
        <v>6</v>
      </c>
    </row>
    <row r="10" spans="1:2" x14ac:dyDescent="0.25">
      <c r="A10" s="7" t="s">
        <v>50</v>
      </c>
      <c r="B10" t="s">
        <v>52</v>
      </c>
    </row>
    <row r="11" spans="1:2" x14ac:dyDescent="0.25">
      <c r="A11" s="8" t="s">
        <v>24</v>
      </c>
      <c r="B11" s="4">
        <v>3</v>
      </c>
    </row>
    <row r="12" spans="1:2" x14ac:dyDescent="0.25">
      <c r="A12" s="8" t="s">
        <v>25</v>
      </c>
      <c r="B12" s="4">
        <v>2</v>
      </c>
    </row>
    <row r="13" spans="1:2" x14ac:dyDescent="0.25">
      <c r="A13" s="8" t="s">
        <v>51</v>
      </c>
      <c r="B13" s="4">
        <v>5</v>
      </c>
    </row>
    <row r="15" spans="1:2" x14ac:dyDescent="0.25">
      <c r="A15" s="7" t="s">
        <v>50</v>
      </c>
      <c r="B15" t="s">
        <v>52</v>
      </c>
    </row>
    <row r="16" spans="1:2" x14ac:dyDescent="0.25">
      <c r="A16" s="8" t="s">
        <v>24</v>
      </c>
      <c r="B16" s="4">
        <v>2</v>
      </c>
    </row>
    <row r="17" spans="1:2" x14ac:dyDescent="0.25">
      <c r="A17" s="8" t="s">
        <v>25</v>
      </c>
      <c r="B17" s="4">
        <v>3</v>
      </c>
    </row>
    <row r="18" spans="1:2" x14ac:dyDescent="0.25">
      <c r="A18" s="8" t="s">
        <v>51</v>
      </c>
      <c r="B18" s="4">
        <v>5</v>
      </c>
    </row>
    <row r="21" spans="1:2" x14ac:dyDescent="0.25">
      <c r="A21" s="7" t="s">
        <v>50</v>
      </c>
      <c r="B21" t="s">
        <v>52</v>
      </c>
    </row>
    <row r="22" spans="1:2" x14ac:dyDescent="0.25">
      <c r="A22" s="8" t="s">
        <v>26</v>
      </c>
      <c r="B22" s="4">
        <v>1</v>
      </c>
    </row>
    <row r="23" spans="1:2" x14ac:dyDescent="0.25">
      <c r="A23" s="8" t="s">
        <v>24</v>
      </c>
      <c r="B23" s="4">
        <v>1</v>
      </c>
    </row>
    <row r="24" spans="1:2" x14ac:dyDescent="0.25">
      <c r="A24" s="8" t="s">
        <v>25</v>
      </c>
      <c r="B24" s="4">
        <v>3</v>
      </c>
    </row>
    <row r="25" spans="1:2" x14ac:dyDescent="0.25">
      <c r="A25" s="8" t="s">
        <v>51</v>
      </c>
      <c r="B25" s="4">
        <v>5</v>
      </c>
    </row>
    <row r="30" spans="1:2" x14ac:dyDescent="0.25">
      <c r="A30" s="7" t="s">
        <v>50</v>
      </c>
      <c r="B30" t="s">
        <v>52</v>
      </c>
    </row>
    <row r="31" spans="1:2" x14ac:dyDescent="0.25">
      <c r="A31" s="8" t="s">
        <v>26</v>
      </c>
      <c r="B31" s="4">
        <v>1</v>
      </c>
    </row>
    <row r="32" spans="1:2" x14ac:dyDescent="0.25">
      <c r="A32" s="8" t="s">
        <v>24</v>
      </c>
      <c r="B32" s="4">
        <v>1</v>
      </c>
    </row>
    <row r="33" spans="1:2" x14ac:dyDescent="0.25">
      <c r="A33" s="8" t="s">
        <v>25</v>
      </c>
      <c r="B33" s="4">
        <v>3</v>
      </c>
    </row>
    <row r="34" spans="1:2" x14ac:dyDescent="0.25">
      <c r="A34" s="8" t="s">
        <v>51</v>
      </c>
      <c r="B34" s="4">
        <v>5</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
  <sheetViews>
    <sheetView topLeftCell="M1" zoomScaleNormal="100" workbookViewId="0">
      <selection activeCell="N9" sqref="N9"/>
    </sheetView>
  </sheetViews>
  <sheetFormatPr defaultRowHeight="15" x14ac:dyDescent="0.25"/>
  <cols>
    <col min="1" max="1" width="20" bestFit="1" customWidth="1"/>
    <col min="2" max="2" width="20" style="5" bestFit="1" customWidth="1"/>
    <col min="3" max="3" width="20" bestFit="1" customWidth="1"/>
    <col min="4" max="4" width="20" style="6" customWidth="1"/>
    <col min="5" max="7" width="20" bestFit="1" customWidth="1"/>
    <col min="8" max="8" width="49" customWidth="1"/>
    <col min="9" max="9" width="20" bestFit="1" customWidth="1"/>
    <col min="10" max="10" width="35.28515625" customWidth="1"/>
    <col min="11" max="11" width="63.7109375" customWidth="1"/>
    <col min="12" max="12" width="81.5703125" customWidth="1"/>
    <col min="13" max="13" width="176.7109375" customWidth="1"/>
    <col min="14" max="15" width="20" bestFit="1" customWidth="1"/>
    <col min="16" max="16" width="25.5703125" customWidth="1"/>
    <col min="17" max="17" width="20" bestFit="1" customWidth="1"/>
    <col min="18" max="18" width="171.140625" customWidth="1"/>
  </cols>
  <sheetData>
    <row r="1" spans="1:18" x14ac:dyDescent="0.25">
      <c r="A1" t="s">
        <v>0</v>
      </c>
      <c r="B1" s="5" t="s">
        <v>1</v>
      </c>
      <c r="C1" t="s">
        <v>2</v>
      </c>
      <c r="D1" s="6" t="s">
        <v>49</v>
      </c>
      <c r="E1" t="s">
        <v>3</v>
      </c>
      <c r="F1" t="s">
        <v>4</v>
      </c>
      <c r="G1" t="s">
        <v>5</v>
      </c>
      <c r="H1" t="s">
        <v>6</v>
      </c>
      <c r="I1" t="s">
        <v>7</v>
      </c>
      <c r="J1" t="s">
        <v>8</v>
      </c>
      <c r="K1" t="s">
        <v>9</v>
      </c>
      <c r="L1" t="s">
        <v>10</v>
      </c>
      <c r="M1" t="s">
        <v>11</v>
      </c>
      <c r="N1" t="s">
        <v>12</v>
      </c>
      <c r="O1" t="s">
        <v>13</v>
      </c>
      <c r="P1" t="s">
        <v>14</v>
      </c>
      <c r="Q1" t="s">
        <v>15</v>
      </c>
      <c r="R1" t="s">
        <v>16</v>
      </c>
    </row>
    <row r="2" spans="1:18" x14ac:dyDescent="0.25">
      <c r="A2">
        <v>1</v>
      </c>
      <c r="B2" s="5">
        <v>46313.447291666664</v>
      </c>
      <c r="C2" s="5">
        <v>46313.448009259257</v>
      </c>
      <c r="D2" s="6">
        <f t="shared" ref="D2:D7" si="0">C2-B2</f>
        <v>7.1759259299142286E-4</v>
      </c>
      <c r="E2" t="s">
        <v>17</v>
      </c>
      <c r="G2" s="1"/>
      <c r="H2" t="s">
        <v>18</v>
      </c>
      <c r="I2" t="s">
        <v>19</v>
      </c>
      <c r="J2" s="4" t="s">
        <v>20</v>
      </c>
      <c r="K2" t="s">
        <v>21</v>
      </c>
      <c r="L2" t="s">
        <v>22</v>
      </c>
      <c r="M2" t="s">
        <v>23</v>
      </c>
      <c r="N2" t="s">
        <v>24</v>
      </c>
      <c r="O2" t="s">
        <v>25</v>
      </c>
      <c r="P2" t="s">
        <v>26</v>
      </c>
      <c r="Q2" t="s">
        <v>26</v>
      </c>
      <c r="R2" t="s">
        <v>27</v>
      </c>
    </row>
    <row r="3" spans="1:18" x14ac:dyDescent="0.25">
      <c r="A3">
        <v>2</v>
      </c>
      <c r="B3" s="5">
        <v>46313.462812500002</v>
      </c>
      <c r="C3" s="5">
        <v>46313.463692129626</v>
      </c>
      <c r="D3" s="6">
        <f t="shared" si="0"/>
        <v>8.7962962425081059E-4</v>
      </c>
      <c r="E3" t="s">
        <v>17</v>
      </c>
      <c r="G3" s="1"/>
      <c r="H3" s="2" t="s">
        <v>28</v>
      </c>
      <c r="I3" t="s">
        <v>29</v>
      </c>
      <c r="J3" s="4" t="s">
        <v>30</v>
      </c>
      <c r="K3" t="s">
        <v>31</v>
      </c>
      <c r="L3" t="s">
        <v>32</v>
      </c>
      <c r="M3" t="s">
        <v>33</v>
      </c>
      <c r="N3" t="s">
        <v>24</v>
      </c>
      <c r="O3" t="s">
        <v>24</v>
      </c>
      <c r="P3" t="s">
        <v>25</v>
      </c>
      <c r="Q3" t="s">
        <v>25</v>
      </c>
      <c r="R3" s="3" t="s">
        <v>45</v>
      </c>
    </row>
    <row r="4" spans="1:18" x14ac:dyDescent="0.25">
      <c r="A4">
        <v>3</v>
      </c>
      <c r="B4" s="5">
        <v>46313.528599537036</v>
      </c>
      <c r="C4" s="5">
        <v>46313.530601851853</v>
      </c>
      <c r="D4" s="6">
        <f t="shared" si="0"/>
        <v>2.0023148172185756E-3</v>
      </c>
      <c r="E4" t="s">
        <v>17</v>
      </c>
      <c r="G4" s="1"/>
      <c r="H4" t="s">
        <v>34</v>
      </c>
      <c r="I4" t="s">
        <v>29</v>
      </c>
      <c r="J4" s="4" t="s">
        <v>35</v>
      </c>
      <c r="K4" t="s">
        <v>36</v>
      </c>
      <c r="L4" t="s">
        <v>32</v>
      </c>
      <c r="M4" t="s">
        <v>37</v>
      </c>
      <c r="N4" t="s">
        <v>25</v>
      </c>
      <c r="O4" t="s">
        <v>25</v>
      </c>
      <c r="P4" t="s">
        <v>25</v>
      </c>
      <c r="Q4" t="s">
        <v>25</v>
      </c>
      <c r="R4" t="s">
        <v>38</v>
      </c>
    </row>
    <row r="5" spans="1:18" x14ac:dyDescent="0.25">
      <c r="A5">
        <v>4</v>
      </c>
      <c r="B5" s="5">
        <v>46313.62263888889</v>
      </c>
      <c r="C5" s="5">
        <v>46313.623564814814</v>
      </c>
      <c r="D5" s="6">
        <f t="shared" si="0"/>
        <v>9.2592592409346253E-4</v>
      </c>
      <c r="E5" t="s">
        <v>17</v>
      </c>
      <c r="G5" s="1"/>
      <c r="H5" t="s">
        <v>18</v>
      </c>
      <c r="I5" t="s">
        <v>19</v>
      </c>
      <c r="J5" s="4" t="s">
        <v>39</v>
      </c>
      <c r="K5" t="s">
        <v>31</v>
      </c>
      <c r="L5" t="s">
        <v>40</v>
      </c>
      <c r="M5" t="s">
        <v>41</v>
      </c>
      <c r="N5" t="s">
        <v>25</v>
      </c>
      <c r="O5" t="s">
        <v>25</v>
      </c>
      <c r="P5" t="s">
        <v>25</v>
      </c>
      <c r="Q5" t="s">
        <v>25</v>
      </c>
      <c r="R5" s="3" t="s">
        <v>46</v>
      </c>
    </row>
    <row r="6" spans="1:18" x14ac:dyDescent="0.25">
      <c r="A6">
        <v>5</v>
      </c>
      <c r="B6" s="5">
        <v>46313.674155092594</v>
      </c>
      <c r="C6" s="5">
        <v>46313.675185185188</v>
      </c>
      <c r="D6" s="6">
        <f t="shared" si="0"/>
        <v>1.0300925932824612E-3</v>
      </c>
      <c r="E6" t="s">
        <v>17</v>
      </c>
      <c r="G6" s="1"/>
      <c r="H6" s="2" t="s">
        <v>28</v>
      </c>
      <c r="I6" t="s">
        <v>19</v>
      </c>
      <c r="J6" s="4"/>
      <c r="K6" t="s">
        <v>42</v>
      </c>
      <c r="L6" t="s">
        <v>32</v>
      </c>
      <c r="M6" t="s">
        <v>43</v>
      </c>
      <c r="R6" s="3" t="s">
        <v>47</v>
      </c>
    </row>
    <row r="7" spans="1:18" x14ac:dyDescent="0.25">
      <c r="A7">
        <v>6</v>
      </c>
      <c r="B7" s="5">
        <v>46313.716585648152</v>
      </c>
      <c r="C7" s="5">
        <v>46313.716979166667</v>
      </c>
      <c r="D7" s="6">
        <f t="shared" si="0"/>
        <v>3.9351851592073217E-4</v>
      </c>
      <c r="E7" t="s">
        <v>17</v>
      </c>
      <c r="G7" s="1"/>
      <c r="H7" s="2" t="s">
        <v>28</v>
      </c>
      <c r="I7" t="s">
        <v>19</v>
      </c>
      <c r="J7" s="4"/>
      <c r="K7" t="s">
        <v>44</v>
      </c>
      <c r="L7" t="s">
        <v>32</v>
      </c>
      <c r="M7" t="s">
        <v>43</v>
      </c>
      <c r="N7" t="s">
        <v>24</v>
      </c>
      <c r="O7" t="s">
        <v>24</v>
      </c>
      <c r="P7" t="s">
        <v>24</v>
      </c>
      <c r="Q7" t="s">
        <v>24</v>
      </c>
      <c r="R7" s="3" t="s">
        <v>48</v>
      </c>
    </row>
    <row r="8" spans="1:18" x14ac:dyDescent="0.25">
      <c r="A8" s="4"/>
      <c r="C8" s="5"/>
      <c r="D8" s="6">
        <f>AVERAGE(D2:D7)</f>
        <v>9.9151234462624416E-4</v>
      </c>
      <c r="E8" s="4"/>
      <c r="F8" s="4"/>
      <c r="G8" s="1"/>
      <c r="H8" s="4"/>
      <c r="I8" s="4"/>
      <c r="J8" s="4"/>
      <c r="K8" s="4" cm="1">
        <f t="array" ref="K8">AVERAGE(_xlfn.SWITCH(Table1[How likely are you to continue doing business with us in the future?], "extremely likely",5, "very likely",4, "somewhat likely",3, "not so likely",2, "not at all likely",1))</f>
        <v>3</v>
      </c>
      <c r="L8" s="4"/>
      <c r="M8" s="4"/>
      <c r="N8" s="4"/>
      <c r="O8" s="4"/>
      <c r="P8" s="4"/>
      <c r="Q8" s="4"/>
      <c r="R8" s="4"/>
    </row>
    <row r="9" spans="1:18" x14ac:dyDescent="0.25">
      <c r="K9" s="4"/>
      <c r="N9" s="4"/>
    </row>
    <row r="10" spans="1:18" x14ac:dyDescent="0.25">
      <c r="K10" s="4"/>
    </row>
    <row r="11" spans="1:18" x14ac:dyDescent="0.25">
      <c r="K11" s="4"/>
    </row>
    <row r="12" spans="1:18" x14ac:dyDescent="0.25">
      <c r="K12" s="4"/>
    </row>
    <row r="13" spans="1:18" x14ac:dyDescent="0.25">
      <c r="K13" s="4"/>
    </row>
  </sheetData>
  <hyperlinks>
    <hyperlink ref="R3" r:id="rId1" xr:uid="{5CE6C6C4-A26F-4101-AB1A-A1D58098FBA8}"/>
    <hyperlink ref="R5" r:id="rId2" xr:uid="{7CF5CB0E-96FC-4678-8D55-8144042B8845}"/>
    <hyperlink ref="R6" r:id="rId3" xr:uid="{99621DA9-BFB3-4DD8-B7EE-A764EEBF94CC}"/>
    <hyperlink ref="R7" r:id="rId4" xr:uid="{07E337BA-80D1-4233-B544-21FF8A48A561}"/>
  </hyperlinks>
  <pageMargins left="0.7" right="0.7" top="0.75" bottom="0.75" header="0.3" footer="0.3"/>
  <pageSetup paperSize="9" orientation="portrait" r:id="rId5"/>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Age Range</vt:lpstr>
      <vt:lpstr>Survey Responses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Colman</dc:creator>
  <cp:lastModifiedBy>israel colman</cp:lastModifiedBy>
  <dcterms:created xsi:type="dcterms:W3CDTF">2026-10-19T00:34:35Z</dcterms:created>
  <dcterms:modified xsi:type="dcterms:W3CDTF">2026-10-19T02:18:18Z</dcterms:modified>
</cp:coreProperties>
</file>